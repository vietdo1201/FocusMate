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bin\Desktop\FocusMate_Test\Excel\"/>
    </mc:Choice>
  </mc:AlternateContent>
  <xr:revisionPtr revIDLastSave="0" documentId="13_ncr:1_{7303B18F-1B7C-4E32-950C-6E8DA7E115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Cases'!$A$1:$M$25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B7" i="2" l="1"/>
</calcChain>
</file>

<file path=xl/sharedStrings.xml><?xml version="1.0" encoding="utf-8"?>
<sst xmlns="http://schemas.openxmlformats.org/spreadsheetml/2006/main" count="334" uniqueCount="222">
  <si>
    <t>ID</t>
  </si>
  <si>
    <t>Nhóm</t>
  </si>
  <si>
    <t>Test Case</t>
  </si>
  <si>
    <t>Severity</t>
  </si>
  <si>
    <t>Tiền điều kiện</t>
  </si>
  <si>
    <t>Các bước kiểm thử</t>
  </si>
  <si>
    <t>Expected Result</t>
  </si>
  <si>
    <t>Actual</t>
  </si>
  <si>
    <t>PASS/FAIL</t>
  </si>
  <si>
    <t>Evidence</t>
  </si>
  <si>
    <t>Ngày test</t>
  </si>
  <si>
    <t>Người test</t>
  </si>
  <si>
    <t>Ghi chú</t>
  </si>
  <si>
    <t>TC01</t>
  </si>
  <si>
    <t>ESP32</t>
  </si>
  <si>
    <t>Khởi động ESP32</t>
  </si>
  <si>
    <t>Medium</t>
  </si>
  <si>
    <t>ESP32 đã kết nối nguồn</t>
  </si>
  <si>
    <t>Cấp nguồn cho ESP32</t>
  </si>
  <si>
    <t>ESP32 khởi động bình thường, không reset liên tục</t>
  </si>
  <si>
    <t>TC02</t>
  </si>
  <si>
    <t>Wi-Fi</t>
  </si>
  <si>
    <t>Kết nối Wi-Fi</t>
  </si>
  <si>
    <t>High</t>
  </si>
  <si>
    <t>Có Wi-Fi đã cấu hình</t>
  </si>
  <si>
    <t>Khởi động ESP32 và chờ kết nối</t>
  </si>
  <si>
    <t>ESP32 kết nối Wi-Fi thành công và nhận IP</t>
  </si>
  <si>
    <t>TC03</t>
  </si>
  <si>
    <t>Camera</t>
  </si>
  <si>
    <t>Khởi động camera</t>
  </si>
  <si>
    <t>ESP32 đã kết nối</t>
  </si>
  <si>
    <t>Mở hệ thống camera</t>
  </si>
  <si>
    <t>Camera khởi động và cung cấp hình ảnh</t>
  </si>
  <si>
    <t>TC04</t>
  </si>
  <si>
    <t>Web</t>
  </si>
  <si>
    <t>Truy cập giao diện Web</t>
  </si>
  <si>
    <t>ESP32 đã có IP</t>
  </si>
  <si>
    <t>Mở IP ESP32 trên trình duyệt</t>
  </si>
  <si>
    <t>Trang Web FocusMate hiển thị bình thường</t>
  </si>
  <si>
    <t>TC05</t>
  </si>
  <si>
    <t>Camera → Web</t>
  </si>
  <si>
    <t>Hiển thị camera trên Web</t>
  </si>
  <si>
    <t>Critical</t>
  </si>
  <si>
    <t>Camera và Web hoạt động</t>
  </si>
  <si>
    <t>Mở Web và quan sát stream</t>
  </si>
  <si>
    <t>Hình ảnh camera được truyền và hiển thị trên Web</t>
  </si>
  <si>
    <t>TC06</t>
  </si>
  <si>
    <t>Session</t>
  </si>
  <si>
    <t>Bắt đầu phiên học</t>
  </si>
  <si>
    <t>Hệ thống hoạt động</t>
  </si>
  <si>
    <t>Nhấn bắt đầu phiên học</t>
  </si>
  <si>
    <t>Session được khởi tạo và hệ thống bắt đầu theo dõi</t>
  </si>
  <si>
    <t>TC07</t>
  </si>
  <si>
    <t>AI</t>
  </si>
  <si>
    <t>Tư thế bình thường</t>
  </si>
  <si>
    <t>Camera hướng vào người học</t>
  </si>
  <si>
    <t>Ngồi học đúng tư thế</t>
  </si>
  <si>
    <t>Không phát sinh cảnh báo sai</t>
  </si>
  <si>
    <t>TC08</t>
  </si>
  <si>
    <t>Phát hiện cúi đầu</t>
  </si>
  <si>
    <t>Camera hoạt động</t>
  </si>
  <si>
    <t>Cúi đầu trước camera</t>
  </si>
  <si>
    <t>Nhận diện cúi đầu theo thiết kế</t>
  </si>
  <si>
    <t>TC09</t>
  </si>
  <si>
    <t>Phát hiện nghiêng trái</t>
  </si>
  <si>
    <t>Nghiêng đầu sang trái</t>
  </si>
  <si>
    <t>Nhận diện nghiêng trái</t>
  </si>
  <si>
    <t>TC10</t>
  </si>
  <si>
    <t>Phát hiện nghiêng phải</t>
  </si>
  <si>
    <t>Nghiêng đầu sang phải</t>
  </si>
  <si>
    <t>Nhận diện nghiêng phải</t>
  </si>
  <si>
    <t>TC11</t>
  </si>
  <si>
    <t>Camera thấy thân trên</t>
  </si>
  <si>
    <t>TC12</t>
  </si>
  <si>
    <t>Phát hiện ngáp</t>
  </si>
  <si>
    <t>Thực hiện ngáp trước camera</t>
  </si>
  <si>
    <t>Nhận diện ngáp theo thiết kế</t>
  </si>
  <si>
    <t>TC13</t>
  </si>
  <si>
    <t>Không cảnh báo khi bình thường</t>
  </si>
  <si>
    <t>Ngồi đúng tư thế</t>
  </si>
  <si>
    <t>TC14</t>
  </si>
  <si>
    <t>Nhận diện lặp lại</t>
  </si>
  <si>
    <t>Thực hiện một hành vi nhiều lần</t>
  </si>
  <si>
    <t>Sự kiện được ghi nhận không đếm bất thường</t>
  </si>
  <si>
    <t>TC15</t>
  </si>
  <si>
    <t>Warning</t>
  </si>
  <si>
    <t>Cảnh báo trạng thái</t>
  </si>
  <si>
    <t>Detection hoạt động</t>
  </si>
  <si>
    <t>Tạo trạng thái cần cảnh báo</t>
  </si>
  <si>
    <t>Cảnh báo kích hoạt đúng logic</t>
  </si>
  <si>
    <t>TC16</t>
  </si>
  <si>
    <t>Smartwatch</t>
  </si>
  <si>
    <t>Nhận cảnh báo</t>
  </si>
  <si>
    <t>Smartwatch đã kết nối</t>
  </si>
  <si>
    <t>Kích hoạt cảnh báo</t>
  </si>
  <si>
    <t>Smartwatch nhận cảnh báo</t>
  </si>
  <si>
    <t>TC17</t>
  </si>
  <si>
    <t>Rung/thông báo</t>
  </si>
  <si>
    <t>Đồng hồ rung/thông báo theo thiết kế</t>
  </si>
  <si>
    <t>TC18</t>
  </si>
  <si>
    <t>Data</t>
  </si>
  <si>
    <t>Ghi nhận sự kiện</t>
  </si>
  <si>
    <t>Session đang chạy</t>
  </si>
  <si>
    <t>Tạo các hành vi khác nhau</t>
  </si>
  <si>
    <t>Sự kiện được ghi nhận vào session</t>
  </si>
  <si>
    <t>TC19</t>
  </si>
  <si>
    <t>Tổng hợp cuối phiên</t>
  </si>
  <si>
    <t>Đã có sự kiện</t>
  </si>
  <si>
    <t>Kết thúc session</t>
  </si>
  <si>
    <t>Kết quả phiên học được tổng hợp</t>
  </si>
  <si>
    <t>TC20</t>
  </si>
  <si>
    <t>Kết thúc phiên</t>
  </si>
  <si>
    <t>Nhấn kết thúc</t>
  </si>
  <si>
    <t>Session kết thúc và dữ liệu không mất</t>
  </si>
  <si>
    <t>TC21</t>
  </si>
  <si>
    <t>Network</t>
  </si>
  <si>
    <t>Mất Wi-Fi</t>
  </si>
  <si>
    <t>Session đang hoạt động</t>
  </si>
  <si>
    <t>Ngắt Wi-Fi ESP32</t>
  </si>
  <si>
    <t>Hệ thống xử lý mất kết nối, không crash</t>
  </si>
  <si>
    <t>TC22</t>
  </si>
  <si>
    <t>Khôi phục Wi-Fi</t>
  </si>
  <si>
    <t>ESP32 vừa mất Wi-Fi</t>
  </si>
  <si>
    <t>Bật lại Wi-Fi</t>
  </si>
  <si>
    <t>Kết nối được khôi phục theo thiết kế</t>
  </si>
  <si>
    <t>TC23</t>
  </si>
  <si>
    <t>Integration</t>
  </si>
  <si>
    <t>Toàn bộ luồng</t>
  </si>
  <si>
    <t>Toàn hệ thống hoạt động</t>
  </si>
  <si>
    <t>Session → camera → Web → AI → cảnh báo → smartwatch → kết thúc</t>
  </si>
  <si>
    <t>Toàn bộ luồng hoạt động và dữ liệu được ghi nhận</t>
  </si>
  <si>
    <t>TC24</t>
  </si>
  <si>
    <t>Stability</t>
  </si>
  <si>
    <t>Chạy phiên dài</t>
  </si>
  <si>
    <t>Không crash/reset/mất dữ liệu bất thường</t>
  </si>
  <si>
    <t>FOCUSMATE - TEST SUMMARY</t>
  </si>
  <si>
    <t>Tổng số test</t>
  </si>
  <si>
    <t>Passed</t>
  </si>
  <si>
    <t>Failed</t>
  </si>
  <si>
    <t>Chưa test</t>
  </si>
  <si>
    <t>Pass Rate</t>
  </si>
  <si>
    <t>Mức độ Severity</t>
  </si>
  <si>
    <t>Critical: lỗi nghiêm trọng, ảnh hưởng chức năng cốt lõi.</t>
  </si>
  <si>
    <t>High: lỗi ảnh hưởng đáng kể đến chức năng.</t>
  </si>
  <si>
    <t>Medium: lỗi ảnh hưởng một phần, có workaround.</t>
  </si>
  <si>
    <t>Low: lỗi nhỏ, ít ảnh hưởng đến hệ thống.</t>
  </si>
  <si>
    <t>ESP32 khởi động thành công, không reset, GATT/Web hoạt động</t>
  </si>
  <si>
    <t>PASS</t>
  </si>
  <si>
    <t>TC01_ESP32_Boot.png</t>
  </si>
  <si>
    <t>28/08/2026</t>
  </si>
  <si>
    <t>Tran Tuan Anh</t>
  </si>
  <si>
    <t>ESP32 khởi động thành công, kết nối Wi-Fi ổn định và Web Dashboard hoạt động bình thường. Không ghi nhận lỗi trong quá trình khởi động.</t>
  </si>
  <si>
    <t>ESP32 khởi tạo Wi-Fi thành công, DHCP server hoạt động và cấp IP 192.168.4.1</t>
  </si>
  <si>
    <t>TC02_wifi.png</t>
  </si>
  <si>
    <t>Wi-Fi AP hoạt động, Web dashboard đã sẵn sàng</t>
  </si>
  <si>
    <t>TC03_camera</t>
  </si>
  <si>
    <t>Camera ESP32 khởi động và cung cấp hình ảnh</t>
  </si>
  <si>
    <t>Camera hiển thị hình ảnh ổn định</t>
  </si>
  <si>
    <t>Truy cập thành công FocusMate Dashboard qua 192.168.4.1</t>
  </si>
  <si>
    <t>TC04_web</t>
  </si>
  <si>
    <t>Giao diện Web hiển thị bình thường</t>
  </si>
  <si>
    <t>TC05_camera_web</t>
  </si>
  <si>
    <t>Hình ảnh camera ESP32 được hiển thị trên giao diện Web</t>
  </si>
  <si>
    <t>Camera → Web hoạt động</t>
  </si>
  <si>
    <t>TC06_session_start</t>
  </si>
  <si>
    <t>Bấm Start Session thành công, phiên học chuyển sang trạng thái hoạt động và hệ thống bắt đầu streaming/monitoring</t>
  </si>
  <si>
    <t>Ghi nhận và bắt đầu phiên học</t>
  </si>
  <si>
    <t>AI nhận diện tư thế bình thường, không phát sinh cảnh báo</t>
  </si>
  <si>
    <t>TC07_normal_pose_web</t>
  </si>
  <si>
    <t>Giữ tư thế bình thường 20–30 giây</t>
  </si>
  <si>
    <t>Khi người dùng cúi đầu, hệ thống nhận diện đúng trạng thái cúi đầu</t>
  </si>
  <si>
    <t>TC08_head_down</t>
  </si>
  <si>
    <t>Khi người dùng nghiêng đầu sang trái, hệ thống nhận diện đúng trạng thái tương ứng</t>
  </si>
  <si>
    <t>TC09_tilt_left</t>
  </si>
  <si>
    <t>Khi người dùng nghiêng đầu sang phải, hệ thống nhận diện đúng trạng thái tương ứng</t>
  </si>
  <si>
    <t>TC10_tilt_right</t>
  </si>
  <si>
    <t>TC11_slouch</t>
  </si>
  <si>
    <t>Khi người dùng ngáp, hệ thống nhận diện và ghi nhận sự kiện ngáp</t>
  </si>
  <si>
    <t>TC12_yawn.</t>
  </si>
  <si>
    <t>Thực hiện 2–3 lần ngáp trước camera</t>
  </si>
  <si>
    <t>Người dùng duy trì tư thế bình thường trong 30–60 giây, hệ thống không phát cảnh báo bất thường</t>
  </si>
  <si>
    <t>TC13_normal_no_warning</t>
  </si>
  <si>
    <t>Không thực hiện các hành vi cúi đầu, nghiêng, gù hoặc ngáp trong thời gian kiểm thử</t>
  </si>
  <si>
    <t>AI thực hiện 100 lần inference liên tục và ghi nhận 0 lỗi</t>
  </si>
  <si>
    <t>TC14_ai_repeated</t>
  </si>
  <si>
    <t>benchmark inferences=100 failures=0</t>
  </si>
  <si>
    <t>Hệ thống phát cảnh báo sau khi AI xác nhận trạng thái bất thường</t>
  </si>
  <si>
    <t>Cảnh báo xuất hiện sau khi trạng thái bất thường được phát hiện</t>
  </si>
  <si>
    <t>Smartwatch nhận được thông báo cảnh báo từ FocusMate sau khi hệ thống phát Warning</t>
  </si>
  <si>
    <t>Cảnh báo được truyền tới smartwatch</t>
  </si>
  <si>
    <t>Smartwatch rung và hiển thị thông báo khi nhận cảnh báo từ FocusMate</t>
  </si>
  <si>
    <t>Kiểm tra trực tiếp phản hồi rung của smartwatch</t>
  </si>
  <si>
    <t>Hệ thống ghi nhận sự kiện AI sau khi phát hiện hành vi của người dùng</t>
  </si>
  <si>
    <t>Event có thông tin trạng thái và thời điểm ghi nhận</t>
  </si>
  <si>
    <t>TC18_event_detected</t>
  </si>
  <si>
    <t>Số lượng/trạng thái event trong Summary khớp với dữ liệu trong phiên</t>
  </si>
  <si>
    <t>Người dùng kết thúc phiên thành công, trạng thái Session chuyển từ ACTIVE sang kết thúc và hệ thống dừng ghi nhận phiên</t>
  </si>
  <si>
    <t>Session kết thúc đúng thao tác</t>
  </si>
  <si>
    <t>Ngắt kết nối với wifi hệ thông không bị crash</t>
  </si>
  <si>
    <t>Ngắt kết nối</t>
  </si>
  <si>
    <t>Kết nối lại với wifi thì web load lại</t>
  </si>
  <si>
    <t>Kết nối lại wf</t>
  </si>
  <si>
    <t>Toàn bộ luồng FocusMate từ khởi động, kết nối, camera, AI nhận diện, cảnh báo, smartwatch, ghi nhận dữ liệu đến kết thúc phiên và tạo tổng kết/gợi ý hoạt động bình thường.</t>
  </si>
  <si>
    <t>TC19_session_events;TC19_summary_suggestion</t>
  </si>
  <si>
    <t xml:space="preserve">Sau khi kết thúc phiên, hệ thống tổng hợp các sự kiện đã ghi nhận trong phiên và lời nhắc nhở gợi ý phiên học tiếp </t>
  </si>
  <si>
    <t>Cố tình ngồi gan</t>
  </si>
  <si>
    <t>Nhận diện ngồi gần</t>
  </si>
  <si>
    <t>Khi người dùng chuyển sang tư thế ngồi gần, hệ thống nhận diện đúng trạng thái tương ứng</t>
  </si>
  <si>
    <t>Giữ tư thế ngồi gần khoảng 5–10 giây</t>
  </si>
  <si>
    <t>Giữ tư thế nghiêng phải khoảng 5–10 giây</t>
  </si>
  <si>
    <t>Giữ tư thế cúi đầu khoảng 5–10 giây</t>
  </si>
  <si>
    <t>Giữ tư thế nghiêng trái khoảng 5–10 giây</t>
  </si>
  <si>
    <t>Phát hiện ngồi gần</t>
  </si>
  <si>
    <t>test_canhbao</t>
  </si>
  <si>
    <t>test_demo</t>
  </si>
  <si>
    <t>TC24_Phiendai,TC24_Start_ss,TC24_End_ss</t>
  </si>
  <si>
    <t>Bat dau va ket thuc</t>
  </si>
  <si>
    <t>29/08/2026</t>
  </si>
  <si>
    <t>Chạy liên tục15-20 phút</t>
  </si>
  <si>
    <t>Chạy phiên dài hơn 15 phút</t>
  </si>
  <si>
    <t>TC21_Dis</t>
  </si>
  <si>
    <t>TC22_Reconnect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</si>
</sst>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0" xfId="0" applyFont="1" applyFill="1"/>
    <xf numFmtId="10" fontId="0" fillId="0" borderId="0" xfId="0" applyNumberFormat="1"/>
    <xf numFmtId="0" fontId="3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E1" zoomScale="85" zoomScaleNormal="85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10" style="6" customWidth="1"/>
    <col min="2" max="2" width="16" style="6" customWidth="1"/>
    <col min="3" max="3" width="30" style="6" customWidth="1"/>
    <col min="4" max="4" width="14" style="6" customWidth="1"/>
    <col min="5" max="5" width="30" style="6" customWidth="1"/>
    <col min="6" max="6" width="48" style="6" customWidth="1"/>
    <col min="7" max="7" width="55" style="6" customWidth="1"/>
    <col min="8" max="8" width="70.7109375" style="6" customWidth="1"/>
    <col min="9" max="9" width="14" style="6" customWidth="1"/>
    <col min="10" max="10" width="34" style="6" customWidth="1"/>
    <col min="11" max="11" width="15" style="6" customWidth="1"/>
    <col min="12" max="12" width="18" style="6" customWidth="1"/>
    <col min="13" max="13" width="30" style="6" customWidth="1"/>
    <col min="14" max="16384" width="9.140625" style="6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4.95" customHeight="1" x14ac:dyDescent="0.2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6" t="s">
        <v>146</v>
      </c>
      <c r="I2" s="7" t="s">
        <v>147</v>
      </c>
      <c r="J2" s="7" t="s">
        <v>148</v>
      </c>
      <c r="K2" s="8" t="s">
        <v>149</v>
      </c>
      <c r="L2" s="7" t="s">
        <v>150</v>
      </c>
      <c r="M2" s="6" t="s">
        <v>151</v>
      </c>
    </row>
    <row r="3" spans="1:13" ht="54.95" customHeight="1" x14ac:dyDescent="0.25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6" t="s">
        <v>152</v>
      </c>
      <c r="I3" s="7" t="s">
        <v>147</v>
      </c>
      <c r="J3" s="6" t="s">
        <v>153</v>
      </c>
      <c r="K3" s="8" t="s">
        <v>149</v>
      </c>
      <c r="L3" s="7" t="s">
        <v>150</v>
      </c>
      <c r="M3" s="6" t="s">
        <v>154</v>
      </c>
    </row>
    <row r="4" spans="1:13" ht="54.95" customHeight="1" x14ac:dyDescent="0.25">
      <c r="A4" s="7" t="s">
        <v>27</v>
      </c>
      <c r="B4" s="7" t="s">
        <v>28</v>
      </c>
      <c r="C4" s="7" t="s">
        <v>29</v>
      </c>
      <c r="D4" s="7" t="s">
        <v>23</v>
      </c>
      <c r="E4" s="7" t="s">
        <v>30</v>
      </c>
      <c r="F4" s="7" t="s">
        <v>31</v>
      </c>
      <c r="G4" s="7" t="s">
        <v>32</v>
      </c>
      <c r="H4" s="6" t="s">
        <v>156</v>
      </c>
      <c r="I4" s="7" t="s">
        <v>147</v>
      </c>
      <c r="J4" s="6" t="s">
        <v>155</v>
      </c>
      <c r="K4" s="8" t="s">
        <v>149</v>
      </c>
      <c r="L4" s="7" t="s">
        <v>150</v>
      </c>
      <c r="M4" s="6" t="s">
        <v>157</v>
      </c>
    </row>
    <row r="5" spans="1:13" ht="54.95" customHeight="1" x14ac:dyDescent="0.25">
      <c r="A5" s="7" t="s">
        <v>33</v>
      </c>
      <c r="B5" s="7" t="s">
        <v>34</v>
      </c>
      <c r="C5" s="7" t="s">
        <v>35</v>
      </c>
      <c r="D5" s="7" t="s">
        <v>23</v>
      </c>
      <c r="E5" s="7" t="s">
        <v>36</v>
      </c>
      <c r="F5" s="7" t="s">
        <v>37</v>
      </c>
      <c r="G5" s="7" t="s">
        <v>38</v>
      </c>
      <c r="H5" s="6" t="s">
        <v>158</v>
      </c>
      <c r="I5" s="7" t="s">
        <v>147</v>
      </c>
      <c r="J5" s="6" t="s">
        <v>159</v>
      </c>
      <c r="K5" s="8" t="s">
        <v>149</v>
      </c>
      <c r="L5" s="7" t="s">
        <v>150</v>
      </c>
      <c r="M5" s="6" t="s">
        <v>160</v>
      </c>
    </row>
    <row r="6" spans="1:13" ht="54.95" customHeight="1" x14ac:dyDescent="0.25">
      <c r="A6" s="7" t="s">
        <v>39</v>
      </c>
      <c r="B6" s="7" t="s">
        <v>40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45</v>
      </c>
      <c r="H6" s="6" t="s">
        <v>162</v>
      </c>
      <c r="I6" s="7" t="s">
        <v>147</v>
      </c>
      <c r="J6" s="7" t="s">
        <v>161</v>
      </c>
      <c r="K6" s="8" t="s">
        <v>217</v>
      </c>
      <c r="L6" s="7" t="s">
        <v>150</v>
      </c>
      <c r="M6" s="6" t="s">
        <v>163</v>
      </c>
    </row>
    <row r="7" spans="1:13" ht="54.95" customHeight="1" x14ac:dyDescent="0.25">
      <c r="A7" s="7" t="s">
        <v>46</v>
      </c>
      <c r="B7" s="7" t="s">
        <v>47</v>
      </c>
      <c r="C7" s="7" t="s">
        <v>48</v>
      </c>
      <c r="D7" s="7" t="s">
        <v>23</v>
      </c>
      <c r="E7" s="7" t="s">
        <v>49</v>
      </c>
      <c r="F7" s="7" t="s">
        <v>50</v>
      </c>
      <c r="G7" s="7" t="s">
        <v>51</v>
      </c>
      <c r="H7" s="6" t="s">
        <v>165</v>
      </c>
      <c r="I7" s="7" t="s">
        <v>147</v>
      </c>
      <c r="J7" s="6" t="s">
        <v>164</v>
      </c>
      <c r="K7" s="8" t="s">
        <v>149</v>
      </c>
      <c r="L7" s="7" t="s">
        <v>150</v>
      </c>
      <c r="M7" s="7" t="s">
        <v>166</v>
      </c>
    </row>
    <row r="8" spans="1:13" ht="54.95" customHeight="1" x14ac:dyDescent="0.25">
      <c r="A8" s="7" t="s">
        <v>52</v>
      </c>
      <c r="B8" s="7" t="s">
        <v>53</v>
      </c>
      <c r="C8" s="7" t="s">
        <v>54</v>
      </c>
      <c r="D8" s="7" t="s">
        <v>23</v>
      </c>
      <c r="E8" s="7" t="s">
        <v>55</v>
      </c>
      <c r="F8" s="7" t="s">
        <v>56</v>
      </c>
      <c r="G8" s="7" t="s">
        <v>57</v>
      </c>
      <c r="H8" s="6" t="s">
        <v>167</v>
      </c>
      <c r="I8" s="7" t="s">
        <v>147</v>
      </c>
      <c r="J8" s="6" t="s">
        <v>168</v>
      </c>
      <c r="K8" s="8" t="s">
        <v>149</v>
      </c>
      <c r="L8" s="7" t="s">
        <v>150</v>
      </c>
      <c r="M8" s="9" t="s">
        <v>169</v>
      </c>
    </row>
    <row r="9" spans="1:13" ht="54.95" customHeight="1" x14ac:dyDescent="0.25">
      <c r="A9" s="7" t="s">
        <v>58</v>
      </c>
      <c r="B9" s="7" t="s">
        <v>53</v>
      </c>
      <c r="C9" s="7" t="s">
        <v>59</v>
      </c>
      <c r="D9" s="7" t="s">
        <v>42</v>
      </c>
      <c r="E9" s="7" t="s">
        <v>60</v>
      </c>
      <c r="F9" s="7" t="s">
        <v>61</v>
      </c>
      <c r="G9" s="7" t="s">
        <v>62</v>
      </c>
      <c r="H9" s="6" t="s">
        <v>170</v>
      </c>
      <c r="I9" s="7" t="s">
        <v>147</v>
      </c>
      <c r="J9" s="6" t="s">
        <v>171</v>
      </c>
      <c r="K9" s="8" t="s">
        <v>149</v>
      </c>
      <c r="L9" s="7" t="s">
        <v>150</v>
      </c>
      <c r="M9" s="6" t="s">
        <v>210</v>
      </c>
    </row>
    <row r="10" spans="1:13" ht="54.95" customHeight="1" x14ac:dyDescent="0.25">
      <c r="A10" s="7" t="s">
        <v>63</v>
      </c>
      <c r="B10" s="7" t="s">
        <v>53</v>
      </c>
      <c r="C10" s="7" t="s">
        <v>64</v>
      </c>
      <c r="D10" s="7" t="s">
        <v>23</v>
      </c>
      <c r="E10" s="7" t="s">
        <v>60</v>
      </c>
      <c r="F10" s="7" t="s">
        <v>65</v>
      </c>
      <c r="G10" s="7" t="s">
        <v>66</v>
      </c>
      <c r="H10" s="9" t="s">
        <v>172</v>
      </c>
      <c r="I10" s="7" t="s">
        <v>147</v>
      </c>
      <c r="J10" s="6" t="s">
        <v>173</v>
      </c>
      <c r="K10" s="8" t="s">
        <v>149</v>
      </c>
      <c r="L10" s="7" t="s">
        <v>150</v>
      </c>
      <c r="M10" s="9" t="s">
        <v>211</v>
      </c>
    </row>
    <row r="11" spans="1:13" ht="54.95" customHeight="1" x14ac:dyDescent="0.25">
      <c r="A11" s="7" t="s">
        <v>67</v>
      </c>
      <c r="B11" s="7" t="s">
        <v>53</v>
      </c>
      <c r="C11" s="7" t="s">
        <v>68</v>
      </c>
      <c r="D11" s="7" t="s">
        <v>23</v>
      </c>
      <c r="E11" s="7" t="s">
        <v>60</v>
      </c>
      <c r="F11" s="7" t="s">
        <v>69</v>
      </c>
      <c r="G11" s="7" t="s">
        <v>70</v>
      </c>
      <c r="H11" s="6" t="s">
        <v>174</v>
      </c>
      <c r="I11" s="7" t="s">
        <v>147</v>
      </c>
      <c r="J11" s="6" t="s">
        <v>175</v>
      </c>
      <c r="K11" s="8" t="s">
        <v>149</v>
      </c>
      <c r="L11" s="7" t="s">
        <v>150</v>
      </c>
      <c r="M11" s="6" t="s">
        <v>209</v>
      </c>
    </row>
    <row r="12" spans="1:13" ht="54.95" customHeight="1" x14ac:dyDescent="0.25">
      <c r="A12" s="7" t="s">
        <v>71</v>
      </c>
      <c r="B12" s="7" t="s">
        <v>53</v>
      </c>
      <c r="C12" s="7" t="s">
        <v>212</v>
      </c>
      <c r="D12" s="7" t="s">
        <v>42</v>
      </c>
      <c r="E12" s="7" t="s">
        <v>72</v>
      </c>
      <c r="F12" s="7" t="s">
        <v>205</v>
      </c>
      <c r="G12" s="7" t="s">
        <v>206</v>
      </c>
      <c r="H12" s="6" t="s">
        <v>207</v>
      </c>
      <c r="I12" s="7" t="s">
        <v>147</v>
      </c>
      <c r="J12" s="6" t="s">
        <v>176</v>
      </c>
      <c r="K12" s="8" t="s">
        <v>149</v>
      </c>
      <c r="L12" s="7" t="s">
        <v>150</v>
      </c>
      <c r="M12" s="6" t="s">
        <v>208</v>
      </c>
    </row>
    <row r="13" spans="1:13" ht="54.95" customHeight="1" x14ac:dyDescent="0.25">
      <c r="A13" s="7" t="s">
        <v>73</v>
      </c>
      <c r="B13" s="7" t="s">
        <v>53</v>
      </c>
      <c r="C13" s="7" t="s">
        <v>74</v>
      </c>
      <c r="D13" s="7" t="s">
        <v>23</v>
      </c>
      <c r="E13" s="7" t="s">
        <v>60</v>
      </c>
      <c r="F13" s="7" t="s">
        <v>75</v>
      </c>
      <c r="G13" s="7" t="s">
        <v>76</v>
      </c>
      <c r="H13" s="6" t="s">
        <v>177</v>
      </c>
      <c r="I13" s="7" t="s">
        <v>147</v>
      </c>
      <c r="J13" s="6" t="s">
        <v>178</v>
      </c>
      <c r="K13" s="8" t="s">
        <v>149</v>
      </c>
      <c r="L13" s="7" t="s">
        <v>150</v>
      </c>
      <c r="M13" s="9" t="s">
        <v>179</v>
      </c>
    </row>
    <row r="14" spans="1:13" ht="54.95" customHeight="1" x14ac:dyDescent="0.25">
      <c r="A14" s="7" t="s">
        <v>77</v>
      </c>
      <c r="B14" s="7" t="s">
        <v>53</v>
      </c>
      <c r="C14" s="7" t="s">
        <v>78</v>
      </c>
      <c r="D14" s="7" t="s">
        <v>42</v>
      </c>
      <c r="E14" s="7" t="s">
        <v>60</v>
      </c>
      <c r="F14" s="7" t="s">
        <v>79</v>
      </c>
      <c r="G14" s="7" t="s">
        <v>57</v>
      </c>
      <c r="H14" s="6" t="s">
        <v>180</v>
      </c>
      <c r="I14" s="7" t="s">
        <v>147</v>
      </c>
      <c r="J14" s="6" t="s">
        <v>181</v>
      </c>
      <c r="K14" s="8" t="s">
        <v>149</v>
      </c>
      <c r="L14" s="7" t="s">
        <v>150</v>
      </c>
      <c r="M14" s="6" t="s">
        <v>182</v>
      </c>
    </row>
    <row r="15" spans="1:13" ht="54.95" customHeight="1" x14ac:dyDescent="0.25">
      <c r="A15" s="7" t="s">
        <v>80</v>
      </c>
      <c r="B15" s="7" t="s">
        <v>53</v>
      </c>
      <c r="C15" s="7" t="s">
        <v>81</v>
      </c>
      <c r="D15" s="7" t="s">
        <v>16</v>
      </c>
      <c r="E15" s="7" t="s">
        <v>60</v>
      </c>
      <c r="F15" s="7" t="s">
        <v>82</v>
      </c>
      <c r="G15" s="7" t="s">
        <v>83</v>
      </c>
      <c r="H15" s="6" t="s">
        <v>183</v>
      </c>
      <c r="I15" s="7" t="s">
        <v>147</v>
      </c>
      <c r="J15" s="6" t="s">
        <v>184</v>
      </c>
      <c r="K15" s="8" t="s">
        <v>149</v>
      </c>
      <c r="L15" s="7" t="s">
        <v>150</v>
      </c>
      <c r="M15" s="6" t="s">
        <v>185</v>
      </c>
    </row>
    <row r="16" spans="1:13" ht="54.95" customHeight="1" x14ac:dyDescent="0.25">
      <c r="A16" s="7" t="s">
        <v>84</v>
      </c>
      <c r="B16" s="7" t="s">
        <v>85</v>
      </c>
      <c r="C16" s="7" t="s">
        <v>86</v>
      </c>
      <c r="D16" s="7" t="s">
        <v>42</v>
      </c>
      <c r="E16" s="7" t="s">
        <v>87</v>
      </c>
      <c r="F16" s="7" t="s">
        <v>88</v>
      </c>
      <c r="G16" s="7" t="s">
        <v>89</v>
      </c>
      <c r="H16" s="6" t="s">
        <v>186</v>
      </c>
      <c r="I16" s="7" t="s">
        <v>147</v>
      </c>
      <c r="J16" s="6" t="s">
        <v>213</v>
      </c>
      <c r="K16" s="8" t="s">
        <v>149</v>
      </c>
      <c r="L16" s="7" t="s">
        <v>150</v>
      </c>
      <c r="M16" s="6" t="s">
        <v>187</v>
      </c>
    </row>
    <row r="17" spans="1:13" ht="54.95" customHeight="1" x14ac:dyDescent="0.25">
      <c r="A17" s="7" t="s">
        <v>90</v>
      </c>
      <c r="B17" s="7" t="s">
        <v>91</v>
      </c>
      <c r="C17" s="7" t="s">
        <v>92</v>
      </c>
      <c r="D17" s="7" t="s">
        <v>42</v>
      </c>
      <c r="E17" s="7" t="s">
        <v>93</v>
      </c>
      <c r="F17" s="7" t="s">
        <v>94</v>
      </c>
      <c r="G17" s="7" t="s">
        <v>95</v>
      </c>
      <c r="H17" s="9" t="s">
        <v>188</v>
      </c>
      <c r="I17" s="7" t="s">
        <v>147</v>
      </c>
      <c r="J17" s="6" t="s">
        <v>213</v>
      </c>
      <c r="K17" s="8" t="s">
        <v>149</v>
      </c>
      <c r="L17" s="7" t="s">
        <v>150</v>
      </c>
      <c r="M17" s="9" t="s">
        <v>189</v>
      </c>
    </row>
    <row r="18" spans="1:13" ht="54.95" customHeight="1" x14ac:dyDescent="0.25">
      <c r="A18" s="7" t="s">
        <v>96</v>
      </c>
      <c r="B18" s="7" t="s">
        <v>91</v>
      </c>
      <c r="C18" s="7" t="s">
        <v>97</v>
      </c>
      <c r="D18" s="7" t="s">
        <v>23</v>
      </c>
      <c r="E18" s="7" t="s">
        <v>93</v>
      </c>
      <c r="F18" s="7" t="s">
        <v>94</v>
      </c>
      <c r="G18" s="7" t="s">
        <v>98</v>
      </c>
      <c r="H18" s="6" t="s">
        <v>190</v>
      </c>
      <c r="I18" s="7" t="s">
        <v>147</v>
      </c>
      <c r="J18" s="6" t="s">
        <v>213</v>
      </c>
      <c r="K18" s="8" t="s">
        <v>149</v>
      </c>
      <c r="L18" s="7" t="s">
        <v>150</v>
      </c>
      <c r="M18" s="6" t="s">
        <v>191</v>
      </c>
    </row>
    <row r="19" spans="1:13" ht="54.95" customHeight="1" x14ac:dyDescent="0.25">
      <c r="A19" s="7" t="s">
        <v>99</v>
      </c>
      <c r="B19" s="7" t="s">
        <v>100</v>
      </c>
      <c r="C19" s="7" t="s">
        <v>101</v>
      </c>
      <c r="D19" s="7" t="s">
        <v>23</v>
      </c>
      <c r="E19" s="7" t="s">
        <v>102</v>
      </c>
      <c r="F19" s="7" t="s">
        <v>103</v>
      </c>
      <c r="G19" s="7" t="s">
        <v>104</v>
      </c>
      <c r="H19" s="6" t="s">
        <v>192</v>
      </c>
      <c r="I19" s="7" t="s">
        <v>147</v>
      </c>
      <c r="J19" s="6" t="s">
        <v>194</v>
      </c>
      <c r="K19" s="8" t="s">
        <v>149</v>
      </c>
      <c r="L19" s="7" t="s">
        <v>150</v>
      </c>
      <c r="M19" s="6" t="s">
        <v>193</v>
      </c>
    </row>
    <row r="20" spans="1:13" ht="54.95" customHeight="1" x14ac:dyDescent="0.25">
      <c r="A20" s="7" t="s">
        <v>105</v>
      </c>
      <c r="B20" s="7" t="s">
        <v>100</v>
      </c>
      <c r="C20" s="7" t="s">
        <v>106</v>
      </c>
      <c r="D20" s="7" t="s">
        <v>23</v>
      </c>
      <c r="E20" s="7" t="s">
        <v>107</v>
      </c>
      <c r="F20" s="7" t="s">
        <v>108</v>
      </c>
      <c r="G20" s="7" t="s">
        <v>109</v>
      </c>
      <c r="H20" s="6" t="s">
        <v>204</v>
      </c>
      <c r="I20" s="7" t="s">
        <v>147</v>
      </c>
      <c r="J20" s="6" t="s">
        <v>203</v>
      </c>
      <c r="K20" s="8" t="s">
        <v>149</v>
      </c>
      <c r="L20" s="7" t="s">
        <v>150</v>
      </c>
      <c r="M20" s="6" t="s">
        <v>195</v>
      </c>
    </row>
    <row r="21" spans="1:13" ht="54.95" customHeight="1" x14ac:dyDescent="0.25">
      <c r="A21" s="7" t="s">
        <v>110</v>
      </c>
      <c r="B21" s="7" t="s">
        <v>47</v>
      </c>
      <c r="C21" s="7" t="s">
        <v>111</v>
      </c>
      <c r="D21" s="7" t="s">
        <v>23</v>
      </c>
      <c r="E21" s="7" t="s">
        <v>102</v>
      </c>
      <c r="F21" s="7" t="s">
        <v>112</v>
      </c>
      <c r="G21" s="7" t="s">
        <v>113</v>
      </c>
      <c r="H21" s="6" t="s">
        <v>196</v>
      </c>
      <c r="I21" s="7" t="s">
        <v>147</v>
      </c>
      <c r="K21" s="8" t="s">
        <v>217</v>
      </c>
      <c r="L21" s="7" t="s">
        <v>150</v>
      </c>
      <c r="M21" s="6" t="s">
        <v>197</v>
      </c>
    </row>
    <row r="22" spans="1:13" ht="54.95" customHeight="1" x14ac:dyDescent="0.25">
      <c r="A22" s="7" t="s">
        <v>114</v>
      </c>
      <c r="B22" s="7" t="s">
        <v>115</v>
      </c>
      <c r="C22" s="7" t="s">
        <v>116</v>
      </c>
      <c r="D22" s="7" t="s">
        <v>23</v>
      </c>
      <c r="E22" s="7" t="s">
        <v>117</v>
      </c>
      <c r="F22" s="7" t="s">
        <v>118</v>
      </c>
      <c r="G22" s="7" t="s">
        <v>119</v>
      </c>
      <c r="H22" s="7" t="s">
        <v>198</v>
      </c>
      <c r="I22" s="7" t="s">
        <v>147</v>
      </c>
      <c r="J22" s="6" t="s">
        <v>220</v>
      </c>
      <c r="K22" s="8" t="s">
        <v>217</v>
      </c>
      <c r="L22" s="7" t="s">
        <v>150</v>
      </c>
      <c r="M22" s="7" t="s">
        <v>199</v>
      </c>
    </row>
    <row r="23" spans="1:13" ht="54.95" customHeight="1" x14ac:dyDescent="0.25">
      <c r="A23" s="7" t="s">
        <v>120</v>
      </c>
      <c r="B23" s="7" t="s">
        <v>115</v>
      </c>
      <c r="C23" s="7" t="s">
        <v>121</v>
      </c>
      <c r="D23" s="7" t="s">
        <v>16</v>
      </c>
      <c r="E23" s="7" t="s">
        <v>122</v>
      </c>
      <c r="F23" s="7" t="s">
        <v>123</v>
      </c>
      <c r="G23" s="7" t="s">
        <v>124</v>
      </c>
      <c r="H23" s="7" t="s">
        <v>200</v>
      </c>
      <c r="I23" s="7" t="s">
        <v>147</v>
      </c>
      <c r="J23" s="6" t="s">
        <v>221</v>
      </c>
      <c r="K23" s="8" t="s">
        <v>217</v>
      </c>
      <c r="L23" s="7" t="s">
        <v>150</v>
      </c>
      <c r="M23" s="7" t="s">
        <v>201</v>
      </c>
    </row>
    <row r="24" spans="1:13" ht="54.95" customHeight="1" x14ac:dyDescent="0.25">
      <c r="A24" s="7" t="s">
        <v>125</v>
      </c>
      <c r="B24" s="7" t="s">
        <v>126</v>
      </c>
      <c r="C24" s="7" t="s">
        <v>127</v>
      </c>
      <c r="D24" s="7" t="s">
        <v>42</v>
      </c>
      <c r="E24" s="7" t="s">
        <v>128</v>
      </c>
      <c r="F24" s="7" t="s">
        <v>129</v>
      </c>
      <c r="G24" s="7" t="s">
        <v>130</v>
      </c>
      <c r="H24" s="6" t="s">
        <v>202</v>
      </c>
      <c r="I24" s="7" t="s">
        <v>147</v>
      </c>
      <c r="J24" s="7" t="s">
        <v>214</v>
      </c>
      <c r="K24" s="8" t="s">
        <v>217</v>
      </c>
      <c r="L24" s="7" t="s">
        <v>150</v>
      </c>
      <c r="M24" s="7"/>
    </row>
    <row r="25" spans="1:13" ht="54.95" customHeight="1" x14ac:dyDescent="0.25">
      <c r="A25" s="7" t="s">
        <v>131</v>
      </c>
      <c r="B25" s="7" t="s">
        <v>132</v>
      </c>
      <c r="C25" s="7" t="s">
        <v>133</v>
      </c>
      <c r="D25" s="7" t="s">
        <v>23</v>
      </c>
      <c r="E25" s="7" t="s">
        <v>128</v>
      </c>
      <c r="F25" s="7" t="s">
        <v>218</v>
      </c>
      <c r="G25" s="7" t="s">
        <v>134</v>
      </c>
      <c r="H25" s="7" t="s">
        <v>219</v>
      </c>
      <c r="I25" s="7" t="s">
        <v>147</v>
      </c>
      <c r="J25" s="7" t="s">
        <v>215</v>
      </c>
      <c r="K25" s="8" t="s">
        <v>217</v>
      </c>
      <c r="L25" s="7" t="s">
        <v>150</v>
      </c>
      <c r="M25" s="7" t="s">
        <v>216</v>
      </c>
    </row>
  </sheetData>
  <autoFilter ref="A1:M25" xr:uid="{00000000-0009-0000-0000-000000000000}"/>
  <phoneticPr fontId="4" type="noConversion"/>
  <dataValidations count="2">
    <dataValidation type="list" errorTitle="Severity không hợp lệ" error="Chọn Critical, High, Medium hoặc Low." sqref="D2:D25" xr:uid="{00000000-0002-0000-0000-000000000000}">
      <formula1>"Critical,High,Medium,Low"</formula1>
    </dataValidation>
    <dataValidation type="list" allowBlank="1" errorTitle="Kết quả không hợp lệ" error="Chọn PASS hoặc FAIL." sqref="I2:I25" xr:uid="{00000000-0002-0000-0000-000001000000}">
      <formula1>"PASS,FAIL"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65" customWidth="1"/>
    <col min="2" max="2" width="18" customWidth="1"/>
  </cols>
  <sheetData>
    <row r="1" spans="1:2" ht="23.25" x14ac:dyDescent="0.35">
      <c r="A1" s="2" t="s">
        <v>135</v>
      </c>
    </row>
    <row r="3" spans="1:2" x14ac:dyDescent="0.25">
      <c r="A3" s="3" t="s">
        <v>136</v>
      </c>
      <c r="B3">
        <f>COUNTA('Test Cases'!A2:A25)</f>
        <v>24</v>
      </c>
    </row>
    <row r="4" spans="1:2" x14ac:dyDescent="0.25">
      <c r="A4" s="3" t="s">
        <v>137</v>
      </c>
      <c r="B4">
        <f>COUNTIF('Test Cases'!I2:I25,"PASS")</f>
        <v>24</v>
      </c>
    </row>
    <row r="5" spans="1:2" x14ac:dyDescent="0.25">
      <c r="A5" s="3" t="s">
        <v>138</v>
      </c>
      <c r="B5">
        <f>COUNTIF('Test Cases'!I2:I25,"FAIL")</f>
        <v>0</v>
      </c>
    </row>
    <row r="6" spans="1:2" x14ac:dyDescent="0.25">
      <c r="A6" s="3" t="s">
        <v>139</v>
      </c>
      <c r="B6">
        <f>COUNTBLANK('Test Cases'!I2:I25)</f>
        <v>0</v>
      </c>
    </row>
    <row r="7" spans="1:2" x14ac:dyDescent="0.25">
      <c r="A7" s="3" t="s">
        <v>140</v>
      </c>
      <c r="B7" s="4">
        <f>IFERROR(B4/B3,0)</f>
        <v>1</v>
      </c>
    </row>
    <row r="10" spans="1:2" x14ac:dyDescent="0.25">
      <c r="A10" s="5" t="s">
        <v>141</v>
      </c>
    </row>
    <row r="11" spans="1:2" x14ac:dyDescent="0.25">
      <c r="A11" t="s">
        <v>142</v>
      </c>
    </row>
    <row r="12" spans="1:2" x14ac:dyDescent="0.25">
      <c r="A12" t="s">
        <v>143</v>
      </c>
    </row>
    <row r="13" spans="1:2" x14ac:dyDescent="0.25">
      <c r="A13" t="s">
        <v>144</v>
      </c>
    </row>
    <row r="14" spans="1:2" x14ac:dyDescent="0.25">
      <c r="A14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Anh</cp:lastModifiedBy>
  <dcterms:created xsi:type="dcterms:W3CDTF">2026-08-27T19:37:53Z</dcterms:created>
  <dcterms:modified xsi:type="dcterms:W3CDTF">2026-08-29T15:25:23Z</dcterms:modified>
</cp:coreProperties>
</file>